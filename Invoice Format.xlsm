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sktop\"/>
    </mc:Choice>
  </mc:AlternateContent>
  <xr:revisionPtr revIDLastSave="0" documentId="13_ncr:1_{EFD630C4-7398-424A-A59C-E712DEF1E6D4}" xr6:coauthVersionLast="47" xr6:coauthVersionMax="47" xr10:uidLastSave="{00000000-0000-0000-0000-000000000000}"/>
  <bookViews>
    <workbookView xWindow="-98" yWindow="-98" windowWidth="24196" windowHeight="14476" activeTab="1" xr2:uid="{EB7A118E-A487-4EA8-8E3A-FF87B56158F0}"/>
  </bookViews>
  <sheets>
    <sheet name="Plane Invoice" sheetId="1" r:id="rId1"/>
    <sheet name="Best Invoice" sheetId="2" r:id="rId2"/>
    <sheet name="Product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9" i="2" l="1"/>
  <c r="H19" i="2" s="1"/>
  <c r="A12" i="2"/>
  <c r="A13" i="2"/>
  <c r="A14" i="2" s="1"/>
  <c r="A15" i="2" s="1"/>
  <c r="A16" i="2" s="1"/>
  <c r="A17" i="2" s="1"/>
  <c r="A18" i="2" s="1"/>
  <c r="A19" i="2" s="1"/>
  <c r="A9" i="2"/>
  <c r="A10" i="2" s="1"/>
  <c r="A11" i="2" s="1"/>
  <c r="C10" i="2"/>
  <c r="D10" i="2"/>
  <c r="E10" i="2"/>
  <c r="G10" i="2" s="1"/>
  <c r="H10" i="2" s="1"/>
  <c r="C11" i="2"/>
  <c r="D11" i="2"/>
  <c r="E11" i="2"/>
  <c r="G11" i="2" s="1"/>
  <c r="H11" i="2" s="1"/>
  <c r="C12" i="2"/>
  <c r="D12" i="2"/>
  <c r="E12" i="2"/>
  <c r="G12" i="2" s="1"/>
  <c r="H12" i="2" s="1"/>
  <c r="C13" i="2"/>
  <c r="D13" i="2"/>
  <c r="E13" i="2"/>
  <c r="G13" i="2" s="1"/>
  <c r="H13" i="2" s="1"/>
  <c r="C14" i="2"/>
  <c r="D14" i="2"/>
  <c r="E14" i="2"/>
  <c r="G14" i="2" s="1"/>
  <c r="H14" i="2" s="1"/>
  <c r="C15" i="2"/>
  <c r="D15" i="2"/>
  <c r="E15" i="2"/>
  <c r="G15" i="2" s="1"/>
  <c r="H15" i="2" s="1"/>
  <c r="C16" i="2"/>
  <c r="D16" i="2"/>
  <c r="E16" i="2"/>
  <c r="G16" i="2" s="1"/>
  <c r="H16" i="2" s="1"/>
  <c r="C17" i="2"/>
  <c r="D17" i="2"/>
  <c r="E17" i="2"/>
  <c r="G17" i="2" s="1"/>
  <c r="C18" i="2"/>
  <c r="D18" i="2"/>
  <c r="E18" i="2"/>
  <c r="G18" i="2" s="1"/>
  <c r="H18" i="2" s="1"/>
  <c r="C19" i="2"/>
  <c r="D19" i="2"/>
  <c r="E19" i="2"/>
  <c r="D9" i="2"/>
  <c r="E9" i="2"/>
  <c r="G9" i="2" s="1"/>
  <c r="H9" i="2" s="1"/>
  <c r="C9" i="2"/>
  <c r="H4" i="2"/>
  <c r="D15" i="1"/>
  <c r="F12" i="1"/>
  <c r="F13" i="1" s="1"/>
  <c r="F11" i="1"/>
  <c r="F6" i="1"/>
  <c r="F7" i="1"/>
  <c r="F8" i="1"/>
  <c r="F9" i="1"/>
  <c r="F10" i="1"/>
  <c r="F5" i="1"/>
  <c r="F3" i="1"/>
  <c r="H20" i="2" l="1"/>
  <c r="H17" i="2"/>
  <c r="H23" i="2" s="1"/>
  <c r="F15" i="1"/>
  <c r="F14" i="1"/>
  <c r="H21" i="2" l="1"/>
  <c r="H22" i="2"/>
  <c r="F16" i="1"/>
</calcChain>
</file>

<file path=xl/sharedStrings.xml><?xml version="1.0" encoding="utf-8"?>
<sst xmlns="http://schemas.openxmlformats.org/spreadsheetml/2006/main" count="87" uniqueCount="68">
  <si>
    <r>
      <rPr>
        <b/>
        <sz val="14"/>
        <color theme="1"/>
        <rFont val="Algerian"/>
        <family val="5"/>
      </rPr>
      <t>PR Car ELECTRONICS</t>
    </r>
    <r>
      <rPr>
        <sz val="11"/>
        <color theme="1"/>
        <rFont val="Calibri"/>
        <family val="2"/>
        <scheme val="minor"/>
      </rPr>
      <t xml:space="preserve">
</t>
    </r>
    <r>
      <rPr>
        <u/>
        <sz val="8"/>
        <color theme="1"/>
        <rFont val="Calibri"/>
        <family val="2"/>
        <scheme val="minor"/>
      </rPr>
      <t>H.No. 8-5-278, Road No.2, Shubhodaya Colony,Karmanghat, Hyderabad, 500079.</t>
    </r>
    <r>
      <rPr>
        <sz val="8"/>
        <color theme="1"/>
        <rFont val="Calibri"/>
        <family val="2"/>
        <scheme val="minor"/>
      </rPr>
      <t xml:space="preserve">
Ph: </t>
    </r>
    <r>
      <rPr>
        <b/>
        <sz val="8"/>
        <color theme="1"/>
        <rFont val="Calibri"/>
        <family val="2"/>
        <scheme val="minor"/>
      </rPr>
      <t>9848654478</t>
    </r>
  </si>
  <si>
    <r>
      <rPr>
        <b/>
        <sz val="8"/>
        <color theme="1"/>
        <rFont val="Calibri"/>
        <family val="2"/>
        <scheme val="minor"/>
      </rPr>
      <t xml:space="preserve">BILL TO: </t>
    </r>
    <r>
      <rPr>
        <sz val="8"/>
        <color theme="1"/>
        <rFont val="Calibri"/>
        <family val="2"/>
        <scheme val="minor"/>
      </rPr>
      <t xml:space="preserve">
</t>
    </r>
    <r>
      <rPr>
        <b/>
        <sz val="8"/>
        <color theme="1"/>
        <rFont val="Calibri"/>
        <family val="2"/>
        <scheme val="minor"/>
      </rPr>
      <t>Retesh Nasik</t>
    </r>
    <r>
      <rPr>
        <sz val="8"/>
        <color theme="1"/>
        <rFont val="Calibri"/>
        <family val="2"/>
        <scheme val="minor"/>
      </rPr>
      <t xml:space="preserve">
Nasik, Delhi.</t>
    </r>
  </si>
  <si>
    <t>SUPPLIER: 
Ramesh Electronics
Hyderabad-79</t>
  </si>
  <si>
    <t>INVOICE</t>
  </si>
  <si>
    <t>DATE</t>
  </si>
  <si>
    <t>A0012</t>
  </si>
  <si>
    <t>CAR ITEMS</t>
  </si>
  <si>
    <t>ITEM NO.</t>
  </si>
  <si>
    <t>QTY</t>
  </si>
  <si>
    <t>UNITS</t>
  </si>
  <si>
    <t>RATE</t>
  </si>
  <si>
    <t>AMOUNT</t>
  </si>
  <si>
    <t>A01</t>
  </si>
  <si>
    <t>C02</t>
  </si>
  <si>
    <t>D03</t>
  </si>
  <si>
    <t>Pcs</t>
  </si>
  <si>
    <t>Nos</t>
  </si>
  <si>
    <t>CGST</t>
  </si>
  <si>
    <t>SGST</t>
  </si>
  <si>
    <t>GRAND TOTAL</t>
  </si>
  <si>
    <t>PIONEER</t>
  </si>
  <si>
    <t>SWIFT</t>
  </si>
  <si>
    <t>HONDA KEYS</t>
  </si>
  <si>
    <t/>
  </si>
  <si>
    <t>TOTAL</t>
  </si>
  <si>
    <t>DISCOUNT</t>
  </si>
  <si>
    <t>TAXABLE VALUE</t>
  </si>
  <si>
    <t>For PR Car Electronics
Sign</t>
  </si>
  <si>
    <t xml:space="preserve">% </t>
  </si>
  <si>
    <t>TAX INVOICE</t>
  </si>
  <si>
    <t>CUSTOMER DETAILS</t>
  </si>
  <si>
    <t xml:space="preserve">PR CAR ELECTRONICS
KARMANGHAT, HYDERABAD-79
9848654478
GST: 132AS4561V89
</t>
  </si>
  <si>
    <t>SL NO.</t>
  </si>
  <si>
    <t>PRODUCT NAME</t>
  </si>
  <si>
    <t>TAX</t>
  </si>
  <si>
    <t>COST</t>
  </si>
  <si>
    <t>GROSS AMT</t>
  </si>
  <si>
    <t>NET AMT</t>
  </si>
  <si>
    <t xml:space="preserve">Terms &amp; Conditions:
1…................................................................................................
2…................................................................................................
3…................................................................................................
4..................................................................................................
</t>
  </si>
  <si>
    <t>Signature</t>
  </si>
  <si>
    <r>
      <rPr>
        <b/>
        <sz val="16"/>
        <color theme="4" tint="-0.499984740745262"/>
        <rFont val="Algerian"/>
        <family val="5"/>
      </rPr>
      <t>PLR ENTERPRISES</t>
    </r>
    <r>
      <rPr>
        <b/>
        <sz val="11"/>
        <color theme="4" tint="-0.499984740745262"/>
        <rFont val="Calibri"/>
        <family val="2"/>
        <scheme val="minor"/>
      </rPr>
      <t xml:space="preserve">
</t>
    </r>
    <r>
      <rPr>
        <b/>
        <sz val="8"/>
        <color theme="4" tint="-0.499984740745262"/>
        <rFont val="Times New Roman"/>
        <family val="1"/>
      </rPr>
      <t>Near Busstop, Kalwakurthy, 509324.</t>
    </r>
    <r>
      <rPr>
        <b/>
        <sz val="11"/>
        <color theme="4" tint="-0.499984740745262"/>
        <rFont val="Times New Roman"/>
        <family val="1"/>
      </rPr>
      <t xml:space="preserve">
</t>
    </r>
    <r>
      <rPr>
        <b/>
        <sz val="10"/>
        <color theme="4" tint="-0.499984740745262"/>
        <rFont val="Times New Roman"/>
        <family val="1"/>
      </rPr>
      <t>PH: +91 8125 48 48 68</t>
    </r>
    <r>
      <rPr>
        <b/>
        <sz val="11"/>
        <color theme="4" tint="-0.499984740745262"/>
        <rFont val="Calibri"/>
        <family val="2"/>
        <scheme val="minor"/>
      </rPr>
      <t xml:space="preserve">
</t>
    </r>
  </si>
  <si>
    <t>Silk Sarees</t>
  </si>
  <si>
    <t>Cotton Dresses</t>
  </si>
  <si>
    <t>Paizamas</t>
  </si>
  <si>
    <t>Suits</t>
  </si>
  <si>
    <t>Gadwal Sarees</t>
  </si>
  <si>
    <t>Pochampattu Sarees</t>
  </si>
  <si>
    <t>Modern Sarees</t>
  </si>
  <si>
    <t>Shirt pieces</t>
  </si>
  <si>
    <t>Pant Pieces</t>
  </si>
  <si>
    <t>Banians</t>
  </si>
  <si>
    <t>Undergarments</t>
  </si>
  <si>
    <t>Handkarchifs</t>
  </si>
  <si>
    <t>Zari Sarees</t>
  </si>
  <si>
    <t>A02</t>
  </si>
  <si>
    <t>A03</t>
  </si>
  <si>
    <t>A04</t>
  </si>
  <si>
    <t>A05</t>
  </si>
  <si>
    <t>A06</t>
  </si>
  <si>
    <t>A07</t>
  </si>
  <si>
    <t>A08</t>
  </si>
  <si>
    <t>A09</t>
  </si>
  <si>
    <t>A10</t>
  </si>
  <si>
    <t>A11</t>
  </si>
  <si>
    <t>A12</t>
  </si>
  <si>
    <t>A13</t>
  </si>
  <si>
    <r>
      <rPr>
        <b/>
        <u/>
        <sz val="11"/>
        <color theme="1"/>
        <rFont val="Calibri"/>
        <family val="2"/>
        <scheme val="minor"/>
      </rPr>
      <t>DATE</t>
    </r>
    <r>
      <rPr>
        <b/>
        <sz val="11"/>
        <color theme="1"/>
        <rFont val="Calibri"/>
        <family val="2"/>
        <scheme val="minor"/>
      </rPr>
      <t xml:space="preserve"> :</t>
    </r>
  </si>
  <si>
    <r>
      <rPr>
        <b/>
        <u/>
        <sz val="11"/>
        <color theme="1"/>
        <rFont val="Calibri"/>
        <family val="2"/>
        <scheme val="minor"/>
      </rPr>
      <t>INVOICE</t>
    </r>
    <r>
      <rPr>
        <b/>
        <sz val="11"/>
        <color theme="1"/>
        <rFont val="Calibri"/>
        <family val="2"/>
        <scheme val="minor"/>
      </rPr>
      <t xml:space="preserve"> :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</si>
</sst>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 * #,##0.00_ ;_ * \-#,##0.00_ ;_ * &quot;-&quot;??_ ;_ @_ 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5"/>
      <scheme val="minor"/>
    </font>
    <font>
      <b/>
      <sz val="14"/>
      <color theme="1"/>
      <name val="Algerian"/>
      <family val="5"/>
    </font>
    <font>
      <b/>
      <sz val="8"/>
      <color theme="1"/>
      <name val="Calibri"/>
      <family val="2"/>
      <scheme val="minor"/>
    </font>
    <font>
      <u/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8" tint="-0.499984740745262"/>
      <name val="Arial Black"/>
      <family val="2"/>
    </font>
    <font>
      <b/>
      <sz val="11"/>
      <color theme="4" tint="-0.499984740745262"/>
      <name val="Calibri"/>
      <family val="5"/>
      <scheme val="minor"/>
    </font>
    <font>
      <b/>
      <sz val="16"/>
      <color theme="4" tint="-0.499984740745262"/>
      <name val="Algerian"/>
      <family val="5"/>
    </font>
    <font>
      <b/>
      <sz val="11"/>
      <color theme="4" tint="-0.499984740745262"/>
      <name val="Calibri"/>
      <family val="2"/>
      <scheme val="minor"/>
    </font>
    <font>
      <b/>
      <sz val="8"/>
      <color theme="4" tint="-0.499984740745262"/>
      <name val="Times New Roman"/>
      <family val="1"/>
    </font>
    <font>
      <b/>
      <sz val="11"/>
      <color theme="4" tint="-0.499984740745262"/>
      <name val="Times New Roman"/>
      <family val="1"/>
    </font>
    <font>
      <b/>
      <sz val="10"/>
      <color theme="4" tint="-0.499984740745262"/>
      <name val="Times New Roman"/>
      <family val="1"/>
    </font>
    <font>
      <b/>
      <sz val="9"/>
      <color theme="1"/>
      <name val="Arial Black"/>
      <family val="2"/>
    </font>
    <font>
      <sz val="8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Brush Script MT"/>
      <family val="4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99"/>
        <bgColor indexed="64"/>
      </patternFill>
    </fill>
  </fills>
  <borders count="16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6">
    <xf numFmtId="0" fontId="0" fillId="0" borderId="0" xfId="0"/>
    <xf numFmtId="2" fontId="0" fillId="0" borderId="0" xfId="0" applyNumberFormat="1"/>
    <xf numFmtId="0" fontId="0" fillId="0" borderId="0" xfId="0" applyAlignment="1">
      <alignment horizontal="center" vertical="center"/>
    </xf>
    <xf numFmtId="0" fontId="0" fillId="0" borderId="2" xfId="0" applyBorder="1"/>
    <xf numFmtId="0" fontId="0" fillId="0" borderId="3" xfId="0" applyBorder="1" applyAlignment="1">
      <alignment horizontal="center" vertical="center"/>
    </xf>
    <xf numFmtId="2" fontId="2" fillId="0" borderId="4" xfId="0" applyNumberFormat="1" applyFont="1" applyBorder="1" applyAlignment="1">
      <alignment horizontal="right" vertical="center"/>
    </xf>
    <xf numFmtId="0" fontId="0" fillId="0" borderId="5" xfId="0" applyBorder="1"/>
    <xf numFmtId="2" fontId="2" fillId="0" borderId="6" xfId="0" applyNumberFormat="1" applyFont="1" applyBorder="1" applyAlignment="1">
      <alignment horizontal="right" vertical="center"/>
    </xf>
    <xf numFmtId="0" fontId="0" fillId="0" borderId="7" xfId="0" applyBorder="1"/>
    <xf numFmtId="0" fontId="0" fillId="0" borderId="8" xfId="0" applyBorder="1" applyAlignment="1">
      <alignment horizontal="center" vertical="center"/>
    </xf>
    <xf numFmtId="2" fontId="2" fillId="0" borderId="9" xfId="0" applyNumberFormat="1" applyFont="1" applyBorder="1" applyAlignment="1">
      <alignment horizontal="right" vertical="center"/>
    </xf>
    <xf numFmtId="0" fontId="0" fillId="0" borderId="1" xfId="0" applyBorder="1" applyAlignment="1">
      <alignment horizontal="center" vertical="top"/>
    </xf>
    <xf numFmtId="0" fontId="0" fillId="0" borderId="1" xfId="0" quotePrefix="1" applyBorder="1" applyAlignment="1">
      <alignment horizontal="center" vertical="top"/>
    </xf>
    <xf numFmtId="14" fontId="0" fillId="0" borderId="1" xfId="0" applyNumberFormat="1" applyBorder="1" applyAlignment="1">
      <alignment horizontal="center" vertical="top"/>
    </xf>
    <xf numFmtId="0" fontId="9" fillId="0" borderId="1" xfId="0" applyFont="1" applyBorder="1" applyAlignment="1">
      <alignment horizontal="center" vertical="center"/>
    </xf>
    <xf numFmtId="2" fontId="2" fillId="0" borderId="1" xfId="0" applyNumberFormat="1" applyFont="1" applyBorder="1"/>
    <xf numFmtId="0" fontId="0" fillId="0" borderId="0" xfId="0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0" borderId="1" xfId="0" applyBorder="1" applyAlignment="1">
      <alignment horizontal="left"/>
    </xf>
    <xf numFmtId="0" fontId="9" fillId="4" borderId="1" xfId="0" applyFont="1" applyFill="1" applyBorder="1" applyAlignment="1">
      <alignment horizontal="center"/>
    </xf>
    <xf numFmtId="0" fontId="0" fillId="6" borderId="1" xfId="0" applyFill="1" applyBorder="1"/>
    <xf numFmtId="0" fontId="8" fillId="4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right"/>
    </xf>
    <xf numFmtId="9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" fontId="0" fillId="0" borderId="15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6" borderId="1" xfId="0" applyFill="1" applyBorder="1" applyAlignment="1">
      <alignment horizontal="center"/>
    </xf>
    <xf numFmtId="9" fontId="0" fillId="6" borderId="1" xfId="2" applyFont="1" applyFill="1" applyBorder="1" applyAlignment="1">
      <alignment horizontal="center"/>
    </xf>
    <xf numFmtId="43" fontId="0" fillId="7" borderId="1" xfId="1" applyFont="1" applyFill="1" applyBorder="1" applyAlignment="1">
      <alignment horizontal="right"/>
    </xf>
    <xf numFmtId="0" fontId="4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3" fillId="0" borderId="1" xfId="0" applyFont="1" applyBorder="1" applyAlignment="1">
      <alignment horizontal="left" vertical="top" wrapText="1"/>
    </xf>
    <xf numFmtId="0" fontId="0" fillId="0" borderId="1" xfId="0" applyBorder="1" applyAlignment="1">
      <alignment horizontal="left" vertical="top"/>
    </xf>
    <xf numFmtId="0" fontId="6" fillId="0" borderId="1" xfId="0" applyFont="1" applyBorder="1" applyAlignment="1">
      <alignment horizontal="left" vertical="top" wrapText="1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 vertical="top" wrapText="1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3" fillId="6" borderId="1" xfId="0" applyFont="1" applyFill="1" applyBorder="1" applyAlignment="1">
      <alignment horizontal="left" vertical="top" wrapText="1"/>
    </xf>
    <xf numFmtId="0" fontId="20" fillId="6" borderId="1" xfId="0" applyFont="1" applyFill="1" applyBorder="1" applyAlignment="1">
      <alignment horizontal="center" wrapText="1"/>
    </xf>
    <xf numFmtId="0" fontId="10" fillId="6" borderId="10" xfId="0" applyFont="1" applyFill="1" applyBorder="1" applyAlignment="1">
      <alignment horizontal="center" vertical="center"/>
    </xf>
    <xf numFmtId="0" fontId="10" fillId="6" borderId="11" xfId="0" applyFont="1" applyFill="1" applyBorder="1" applyAlignment="1">
      <alignment horizontal="center" vertical="center"/>
    </xf>
    <xf numFmtId="0" fontId="10" fillId="6" borderId="12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14" fontId="2" fillId="5" borderId="13" xfId="0" applyNumberFormat="1" applyFont="1" applyFill="1" applyBorder="1" applyAlignment="1">
      <alignment horizontal="center" vertical="center"/>
    </xf>
    <xf numFmtId="14" fontId="2" fillId="5" borderId="14" xfId="0" applyNumberFormat="1" applyFont="1" applyFill="1" applyBorder="1" applyAlignment="1">
      <alignment horizontal="center" vertical="center"/>
    </xf>
    <xf numFmtId="0" fontId="2" fillId="5" borderId="13" xfId="0" applyFont="1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top" wrapText="1"/>
    </xf>
    <xf numFmtId="0" fontId="9" fillId="5" borderId="1" xfId="0" applyFont="1" applyFill="1" applyBorder="1" applyAlignment="1">
      <alignment horizontal="left" vertical="top" wrapText="1"/>
    </xf>
    <xf numFmtId="0" fontId="2" fillId="4" borderId="1" xfId="0" applyFont="1" applyFill="1" applyBorder="1" applyAlignment="1">
      <alignment horizontal="left" vertical="center"/>
    </xf>
    <xf numFmtId="0" fontId="9" fillId="4" borderId="1" xfId="0" applyFont="1" applyFill="1" applyBorder="1" applyAlignment="1">
      <alignment horizontal="left" vertical="center"/>
    </xf>
    <xf numFmtId="0" fontId="21" fillId="7" borderId="1" xfId="0" applyFont="1" applyFill="1" applyBorder="1" applyAlignment="1">
      <alignment horizontal="right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FFFF99"/>
      <color rgb="FFA9D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949216</xdr:colOff>
      <xdr:row>0</xdr:row>
      <xdr:rowOff>193785</xdr:rowOff>
    </xdr:from>
    <xdr:to>
      <xdr:col>2</xdr:col>
      <xdr:colOff>390853</xdr:colOff>
      <xdr:row>2</xdr:row>
      <xdr:rowOff>17121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3C685AD7-3D16-FB0E-DD1C-BAFFF53E759C}"/>
            </a:ext>
          </a:extLst>
        </xdr:cNvPr>
        <xdr:cNvGrpSpPr/>
      </xdr:nvGrpSpPr>
      <xdr:grpSpPr>
        <a:xfrm>
          <a:off x="1310509" y="174735"/>
          <a:ext cx="712732" cy="696352"/>
          <a:chOff x="5856257" y="472990"/>
          <a:chExt cx="2239993" cy="2239993"/>
        </a:xfrm>
      </xdr:grpSpPr>
      <xdr:pic>
        <xdr:nvPicPr>
          <xdr:cNvPr id="9" name="Graphic 8" descr="Venn diagram with solid fill">
            <a:extLst>
              <a:ext uri="{FF2B5EF4-FFF2-40B4-BE49-F238E27FC236}">
                <a16:creationId xmlns:a16="http://schemas.microsoft.com/office/drawing/2014/main" id="{A45D08C4-1ED3-3469-FF36-87748C3A1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856257" y="472990"/>
            <a:ext cx="2239993" cy="2239993"/>
          </a:xfrm>
          <a:prstGeom prst="rect">
            <a:avLst/>
          </a:prstGeom>
        </xdr:spPr>
      </xdr:pic>
      <xdr:pic>
        <xdr:nvPicPr>
          <xdr:cNvPr id="3" name="Graphic 2" descr="Butterfly with solid fill">
            <a:extLst>
              <a:ext uri="{FF2B5EF4-FFF2-40B4-BE49-F238E27FC236}">
                <a16:creationId xmlns:a16="http://schemas.microsoft.com/office/drawing/2014/main" id="{6951BCF8-681B-A59C-BA88-D53FDB82EC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220607" y="1712530"/>
            <a:ext cx="553764" cy="553764"/>
          </a:xfrm>
          <a:prstGeom prst="rect">
            <a:avLst/>
          </a:prstGeom>
        </xdr:spPr>
      </xdr:pic>
      <xdr:pic>
        <xdr:nvPicPr>
          <xdr:cNvPr id="5" name="Graphic 4" descr="Peacock with solid fill">
            <a:extLst>
              <a:ext uri="{FF2B5EF4-FFF2-40B4-BE49-F238E27FC236}">
                <a16:creationId xmlns:a16="http://schemas.microsoft.com/office/drawing/2014/main" id="{4313CCE3-FE71-0227-E19A-AC252C2B0C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6282129" y="1783473"/>
            <a:ext cx="420415" cy="420415"/>
          </a:xfrm>
          <a:prstGeom prst="rect">
            <a:avLst/>
          </a:prstGeom>
        </xdr:spPr>
      </xdr:pic>
      <xdr:pic>
        <xdr:nvPicPr>
          <xdr:cNvPr id="7" name="Graphic 6" descr="Unicorn with solid fill">
            <a:extLst>
              <a:ext uri="{FF2B5EF4-FFF2-40B4-BE49-F238E27FC236}">
                <a16:creationId xmlns:a16="http://schemas.microsoft.com/office/drawing/2014/main" id="{0D857881-BB87-693C-878E-0C82667EFD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6721164" y="863819"/>
            <a:ext cx="501668" cy="501668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385600</xdr:colOff>
      <xdr:row>0</xdr:row>
      <xdr:rowOff>203638</xdr:rowOff>
    </xdr:from>
    <xdr:to>
      <xdr:col>6</xdr:col>
      <xdr:colOff>520962</xdr:colOff>
      <xdr:row>2</xdr:row>
      <xdr:rowOff>26974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F75C267F-3519-49F6-AAB5-1620C535103E}"/>
            </a:ext>
          </a:extLst>
        </xdr:cNvPr>
        <xdr:cNvGrpSpPr/>
      </xdr:nvGrpSpPr>
      <xdr:grpSpPr>
        <a:xfrm>
          <a:off x="3959117" y="175063"/>
          <a:ext cx="782406" cy="705877"/>
          <a:chOff x="5856257" y="472990"/>
          <a:chExt cx="2239993" cy="2239993"/>
        </a:xfrm>
      </xdr:grpSpPr>
      <xdr:pic>
        <xdr:nvPicPr>
          <xdr:cNvPr id="23" name="Graphic 22" descr="Venn diagram with solid fill">
            <a:extLst>
              <a:ext uri="{FF2B5EF4-FFF2-40B4-BE49-F238E27FC236}">
                <a16:creationId xmlns:a16="http://schemas.microsoft.com/office/drawing/2014/main" id="{E167A9C7-9AAC-11D5-E67A-A463CC272C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856257" y="472990"/>
            <a:ext cx="2239993" cy="2239993"/>
          </a:xfrm>
          <a:prstGeom prst="rect">
            <a:avLst/>
          </a:prstGeom>
        </xdr:spPr>
      </xdr:pic>
      <xdr:pic>
        <xdr:nvPicPr>
          <xdr:cNvPr id="24" name="Graphic 23" descr="Butterfly with solid fill">
            <a:extLst>
              <a:ext uri="{FF2B5EF4-FFF2-40B4-BE49-F238E27FC236}">
                <a16:creationId xmlns:a16="http://schemas.microsoft.com/office/drawing/2014/main" id="{7CF04ECA-91E5-74AF-F3E6-88B10059E3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220607" y="1712530"/>
            <a:ext cx="553764" cy="553764"/>
          </a:xfrm>
          <a:prstGeom prst="rect">
            <a:avLst/>
          </a:prstGeom>
        </xdr:spPr>
      </xdr:pic>
      <xdr:pic>
        <xdr:nvPicPr>
          <xdr:cNvPr id="25" name="Graphic 24" descr="Peacock with solid fill">
            <a:extLst>
              <a:ext uri="{FF2B5EF4-FFF2-40B4-BE49-F238E27FC236}">
                <a16:creationId xmlns:a16="http://schemas.microsoft.com/office/drawing/2014/main" id="{1C33EC69-3EE1-B4FC-C670-4321BD37CE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6282129" y="1783473"/>
            <a:ext cx="420415" cy="420415"/>
          </a:xfrm>
          <a:prstGeom prst="rect">
            <a:avLst/>
          </a:prstGeom>
        </xdr:spPr>
      </xdr:pic>
      <xdr:pic>
        <xdr:nvPicPr>
          <xdr:cNvPr id="26" name="Graphic 25" descr="Unicorn with solid fill">
            <a:extLst>
              <a:ext uri="{FF2B5EF4-FFF2-40B4-BE49-F238E27FC236}">
                <a16:creationId xmlns:a16="http://schemas.microsoft.com/office/drawing/2014/main" id="{3E4357EA-46A7-366E-54F1-B071F490E2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6721164" y="863819"/>
            <a:ext cx="501668" cy="501668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180646</xdr:colOff>
      <xdr:row>1</xdr:row>
      <xdr:rowOff>85397</xdr:rowOff>
    </xdr:from>
    <xdr:to>
      <xdr:col>9</xdr:col>
      <xdr:colOff>453258</xdr:colOff>
      <xdr:row>1</xdr:row>
      <xdr:rowOff>587923</xdr:rowOff>
    </xdr:to>
    <xdr:sp macro="[0]!clearcells" textlink="">
      <xdr:nvSpPr>
        <xdr:cNvPr id="27" name="Oval 26">
          <a:extLst>
            <a:ext uri="{FF2B5EF4-FFF2-40B4-BE49-F238E27FC236}">
              <a16:creationId xmlns:a16="http://schemas.microsoft.com/office/drawing/2014/main" id="{5371E4F5-2FEE-71EF-720D-3CAC757355FB}"/>
            </a:ext>
          </a:extLst>
        </xdr:cNvPr>
        <xdr:cNvSpPr/>
      </xdr:nvSpPr>
      <xdr:spPr>
        <a:xfrm>
          <a:off x="6138698" y="262759"/>
          <a:ext cx="919655" cy="502526"/>
        </a:xfrm>
        <a:prstGeom prst="ellipse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chemeClr val="tx1"/>
              </a:solidFill>
            </a:rPr>
            <a:t>CLEAR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B2DC7-9EC2-402C-BBDF-8E6D126FFCDD}">
  <sheetPr codeName="Sheet1"/>
  <dimension ref="A1:F18"/>
  <sheetViews>
    <sheetView zoomScale="115" zoomScaleNormal="115" workbookViewId="0">
      <selection activeCell="I12" sqref="I12"/>
    </sheetView>
  </sheetViews>
  <sheetFormatPr defaultRowHeight="14.25" x14ac:dyDescent="0.45"/>
  <cols>
    <col min="1" max="1" width="20.6640625" customWidth="1"/>
    <col min="2" max="2" width="11.06640625" customWidth="1"/>
    <col min="3" max="3" width="10.86328125" customWidth="1"/>
    <col min="4" max="5" width="10.73046875" customWidth="1"/>
    <col min="6" max="6" width="15.265625" customWidth="1"/>
  </cols>
  <sheetData>
    <row r="1" spans="1:6" ht="52.5" customHeight="1" thickTop="1" thickBot="1" x14ac:dyDescent="0.5">
      <c r="A1" s="30" t="s">
        <v>0</v>
      </c>
      <c r="B1" s="31"/>
      <c r="C1" s="31"/>
      <c r="D1" s="31"/>
      <c r="E1" s="31"/>
      <c r="F1" s="31"/>
    </row>
    <row r="2" spans="1:6" ht="21" customHeight="1" thickTop="1" thickBot="1" x14ac:dyDescent="0.5">
      <c r="A2" s="32" t="s">
        <v>1</v>
      </c>
      <c r="B2" s="34" t="s">
        <v>2</v>
      </c>
      <c r="C2" s="33"/>
      <c r="D2" s="33"/>
      <c r="E2" s="11" t="s">
        <v>3</v>
      </c>
      <c r="F2" s="11" t="s">
        <v>4</v>
      </c>
    </row>
    <row r="3" spans="1:6" ht="21" customHeight="1" thickTop="1" thickBot="1" x14ac:dyDescent="0.5">
      <c r="A3" s="33"/>
      <c r="B3" s="33"/>
      <c r="C3" s="33"/>
      <c r="D3" s="33"/>
      <c r="E3" s="12" t="s">
        <v>5</v>
      </c>
      <c r="F3" s="13">
        <f ca="1">TODAY()</f>
        <v>45144</v>
      </c>
    </row>
    <row r="4" spans="1:6" ht="21" customHeight="1" thickTop="1" thickBot="1" x14ac:dyDescent="0.5">
      <c r="A4" s="14" t="s">
        <v>6</v>
      </c>
      <c r="B4" s="14" t="s">
        <v>7</v>
      </c>
      <c r="C4" s="14" t="s">
        <v>8</v>
      </c>
      <c r="D4" s="14" t="s">
        <v>9</v>
      </c>
      <c r="E4" s="14" t="s">
        <v>10</v>
      </c>
      <c r="F4" s="14" t="s">
        <v>11</v>
      </c>
    </row>
    <row r="5" spans="1:6" ht="20.75" customHeight="1" thickTop="1" x14ac:dyDescent="0.45">
      <c r="A5" s="3" t="s">
        <v>20</v>
      </c>
      <c r="B5" s="4" t="s">
        <v>12</v>
      </c>
      <c r="C5" s="4">
        <v>2</v>
      </c>
      <c r="D5" s="4" t="s">
        <v>15</v>
      </c>
      <c r="E5" s="4">
        <v>1200</v>
      </c>
      <c r="F5" s="5">
        <f>C5*E5</f>
        <v>2400</v>
      </c>
    </row>
    <row r="6" spans="1:6" ht="20.75" customHeight="1" x14ac:dyDescent="0.45">
      <c r="A6" s="6" t="s">
        <v>21</v>
      </c>
      <c r="B6" s="2" t="s">
        <v>13</v>
      </c>
      <c r="C6" s="2">
        <v>5</v>
      </c>
      <c r="D6" s="2" t="s">
        <v>15</v>
      </c>
      <c r="E6" s="2">
        <v>800</v>
      </c>
      <c r="F6" s="7">
        <f t="shared" ref="F6:F10" si="0">C6*E6</f>
        <v>4000</v>
      </c>
    </row>
    <row r="7" spans="1:6" ht="20.75" customHeight="1" x14ac:dyDescent="0.45">
      <c r="A7" s="6" t="s">
        <v>22</v>
      </c>
      <c r="B7" s="2" t="s">
        <v>14</v>
      </c>
      <c r="C7" s="2">
        <v>10</v>
      </c>
      <c r="D7" s="2" t="s">
        <v>16</v>
      </c>
      <c r="E7" s="2">
        <v>600</v>
      </c>
      <c r="F7" s="7">
        <f t="shared" si="0"/>
        <v>6000</v>
      </c>
    </row>
    <row r="8" spans="1:6" ht="20.75" customHeight="1" x14ac:dyDescent="0.45">
      <c r="A8" s="6" t="s">
        <v>23</v>
      </c>
      <c r="B8" s="2"/>
      <c r="C8" s="2"/>
      <c r="D8" s="2"/>
      <c r="E8" s="2"/>
      <c r="F8" s="7">
        <f t="shared" si="0"/>
        <v>0</v>
      </c>
    </row>
    <row r="9" spans="1:6" ht="20.75" customHeight="1" x14ac:dyDescent="0.45">
      <c r="A9" s="6" t="s">
        <v>23</v>
      </c>
      <c r="B9" s="2"/>
      <c r="C9" s="2"/>
      <c r="D9" s="2"/>
      <c r="E9" s="2"/>
      <c r="F9" s="7">
        <f t="shared" si="0"/>
        <v>0</v>
      </c>
    </row>
    <row r="10" spans="1:6" ht="20.75" customHeight="1" x14ac:dyDescent="0.45">
      <c r="A10" s="6" t="s">
        <v>23</v>
      </c>
      <c r="B10" s="2"/>
      <c r="C10" s="2"/>
      <c r="D10" s="2"/>
      <c r="E10" s="2"/>
      <c r="F10" s="7">
        <f t="shared" si="0"/>
        <v>0</v>
      </c>
    </row>
    <row r="11" spans="1:6" ht="20.75" customHeight="1" x14ac:dyDescent="0.45">
      <c r="A11" s="6" t="s">
        <v>24</v>
      </c>
      <c r="B11" s="2"/>
      <c r="C11" s="2"/>
      <c r="D11" s="2"/>
      <c r="E11" s="2"/>
      <c r="F11" s="7">
        <f>SUM(F5:F10)</f>
        <v>12400</v>
      </c>
    </row>
    <row r="12" spans="1:6" ht="20.75" customHeight="1" x14ac:dyDescent="0.45">
      <c r="A12" s="6" t="s">
        <v>25</v>
      </c>
      <c r="B12" s="2"/>
      <c r="C12" s="2"/>
      <c r="D12" s="16" t="s">
        <v>28</v>
      </c>
      <c r="E12" s="2">
        <v>5</v>
      </c>
      <c r="F12" s="7">
        <f>F11*E12%</f>
        <v>620</v>
      </c>
    </row>
    <row r="13" spans="1:6" ht="20.75" customHeight="1" x14ac:dyDescent="0.45">
      <c r="A13" s="6" t="s">
        <v>26</v>
      </c>
      <c r="B13" s="2"/>
      <c r="C13" s="2"/>
      <c r="D13" s="16"/>
      <c r="E13" s="2"/>
      <c r="F13" s="7">
        <f>F11-F12</f>
        <v>11780</v>
      </c>
    </row>
    <row r="14" spans="1:6" ht="20.75" customHeight="1" x14ac:dyDescent="0.45">
      <c r="A14" s="6" t="s">
        <v>17</v>
      </c>
      <c r="B14" s="2"/>
      <c r="C14" s="2"/>
      <c r="D14" s="16" t="s">
        <v>28</v>
      </c>
      <c r="E14" s="2">
        <v>6</v>
      </c>
      <c r="F14" s="7">
        <f>F13*E14%</f>
        <v>706.8</v>
      </c>
    </row>
    <row r="15" spans="1:6" ht="20.75" customHeight="1" thickBot="1" x14ac:dyDescent="0.5">
      <c r="A15" s="8" t="s">
        <v>18</v>
      </c>
      <c r="B15" s="9"/>
      <c r="C15" s="9"/>
      <c r="D15" s="17" t="str">
        <f>D14</f>
        <v xml:space="preserve">% </v>
      </c>
      <c r="E15" s="9">
        <v>6</v>
      </c>
      <c r="F15" s="10">
        <f>F13*E15%</f>
        <v>706.8</v>
      </c>
    </row>
    <row r="16" spans="1:6" ht="24" customHeight="1" thickTop="1" thickBot="1" x14ac:dyDescent="0.5">
      <c r="A16" s="35" t="s">
        <v>19</v>
      </c>
      <c r="B16" s="35"/>
      <c r="C16" s="35"/>
      <c r="D16" s="35"/>
      <c r="E16" s="35"/>
      <c r="F16" s="15">
        <f>SUM(F13:F15)</f>
        <v>13193.599999999999</v>
      </c>
    </row>
    <row r="17" spans="1:6" ht="66.400000000000006" customHeight="1" thickTop="1" thickBot="1" x14ac:dyDescent="0.5">
      <c r="A17" s="37"/>
      <c r="B17" s="38"/>
      <c r="C17" s="39"/>
      <c r="D17" s="36" t="s">
        <v>27</v>
      </c>
      <c r="E17" s="36"/>
      <c r="F17" s="36"/>
    </row>
    <row r="18" spans="1:6" ht="14.65" thickTop="1" x14ac:dyDescent="0.45"/>
  </sheetData>
  <mergeCells count="6">
    <mergeCell ref="A1:F1"/>
    <mergeCell ref="A2:A3"/>
    <mergeCell ref="B2:D3"/>
    <mergeCell ref="A16:E16"/>
    <mergeCell ref="D17:F17"/>
    <mergeCell ref="A17:C17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D7C03-F05F-4AE3-AC1C-C280FDE7E1BE}">
  <sheetPr codeName="Sheet2"/>
  <dimension ref="A1:H24"/>
  <sheetViews>
    <sheetView tabSelected="1" topLeftCell="A4" zoomScale="145" zoomScaleNormal="145" workbookViewId="0">
      <selection activeCell="M13" sqref="M13"/>
    </sheetView>
  </sheetViews>
  <sheetFormatPr defaultRowHeight="14.25" x14ac:dyDescent="0.45"/>
  <cols>
    <col min="1" max="1" width="5.06640625" customWidth="1"/>
    <col min="2" max="2" width="17.796875" customWidth="1"/>
    <col min="7" max="7" width="12.1328125" customWidth="1"/>
    <col min="8" max="8" width="12.19921875" customWidth="1"/>
  </cols>
  <sheetData>
    <row r="1" spans="1:8" ht="13.9" customHeight="1" thickTop="1" thickBot="1" x14ac:dyDescent="0.5">
      <c r="A1" s="45" t="s">
        <v>29</v>
      </c>
      <c r="B1" s="45"/>
      <c r="C1" s="45"/>
      <c r="D1" s="45"/>
      <c r="E1" s="45"/>
      <c r="F1" s="45"/>
      <c r="G1" s="45"/>
      <c r="H1" s="45"/>
    </row>
    <row r="2" spans="1:8" ht="53.25" customHeight="1" thickTop="1" thickBot="1" x14ac:dyDescent="0.5">
      <c r="A2" s="51" t="s">
        <v>40</v>
      </c>
      <c r="B2" s="51"/>
      <c r="C2" s="51"/>
      <c r="D2" s="51"/>
      <c r="E2" s="51"/>
      <c r="F2" s="51"/>
      <c r="G2" s="51"/>
      <c r="H2" s="51"/>
    </row>
    <row r="3" spans="1:8" ht="15" thickTop="1" thickBot="1" x14ac:dyDescent="0.5">
      <c r="A3" s="42" t="s">
        <v>30</v>
      </c>
      <c r="B3" s="43"/>
      <c r="C3" s="43"/>
      <c r="D3" s="43"/>
      <c r="E3" s="43"/>
      <c r="F3" s="43"/>
      <c r="G3" s="43"/>
      <c r="H3" s="44"/>
    </row>
    <row r="4" spans="1:8" ht="13.15" customHeight="1" thickTop="1" thickBot="1" x14ac:dyDescent="0.5">
      <c r="A4" s="52" t="s">
        <v>31</v>
      </c>
      <c r="B4" s="52"/>
      <c r="C4" s="52"/>
      <c r="D4" s="52"/>
      <c r="E4" s="52"/>
      <c r="F4" s="46" t="s">
        <v>66</v>
      </c>
      <c r="G4" s="46"/>
      <c r="H4" s="47">
        <f ca="1">TODAY()</f>
        <v>45144</v>
      </c>
    </row>
    <row r="5" spans="1:8" ht="15" thickTop="1" thickBot="1" x14ac:dyDescent="0.5">
      <c r="A5" s="52"/>
      <c r="B5" s="52"/>
      <c r="C5" s="52"/>
      <c r="D5" s="52"/>
      <c r="E5" s="52"/>
      <c r="F5" s="46"/>
      <c r="G5" s="46"/>
      <c r="H5" s="48"/>
    </row>
    <row r="6" spans="1:8" ht="15" thickTop="1" thickBot="1" x14ac:dyDescent="0.5">
      <c r="A6" s="52"/>
      <c r="B6" s="52"/>
      <c r="C6" s="52"/>
      <c r="D6" s="52"/>
      <c r="E6" s="52"/>
      <c r="F6" s="46" t="s">
        <v>67</v>
      </c>
      <c r="G6" s="46"/>
      <c r="H6" s="49">
        <v>112</v>
      </c>
    </row>
    <row r="7" spans="1:8" ht="15" thickTop="1" thickBot="1" x14ac:dyDescent="0.5">
      <c r="A7" s="52"/>
      <c r="B7" s="52"/>
      <c r="C7" s="52"/>
      <c r="D7" s="52"/>
      <c r="E7" s="52"/>
      <c r="F7" s="46"/>
      <c r="G7" s="46"/>
      <c r="H7" s="50"/>
    </row>
    <row r="8" spans="1:8" ht="15" thickTop="1" thickBot="1" x14ac:dyDescent="0.5">
      <c r="A8" s="21" t="s">
        <v>32</v>
      </c>
      <c r="B8" s="19" t="s">
        <v>33</v>
      </c>
      <c r="C8" s="19" t="s">
        <v>7</v>
      </c>
      <c r="D8" s="19" t="s">
        <v>34</v>
      </c>
      <c r="E8" s="19" t="s">
        <v>35</v>
      </c>
      <c r="F8" s="19" t="s">
        <v>8</v>
      </c>
      <c r="G8" s="19" t="s">
        <v>36</v>
      </c>
      <c r="H8" s="19" t="s">
        <v>37</v>
      </c>
    </row>
    <row r="9" spans="1:8" ht="15" thickTop="1" thickBot="1" x14ac:dyDescent="0.5">
      <c r="A9" s="20">
        <f>IF($B9="","",1)</f>
        <v>1</v>
      </c>
      <c r="B9" s="20" t="s">
        <v>46</v>
      </c>
      <c r="C9" s="27" t="str">
        <f>IFERROR(VLOOKUP($B9,Products!$A$1:$D$14,Products!B$15,0),"")</f>
        <v>A06</v>
      </c>
      <c r="D9" s="28">
        <f>IFERROR(VLOOKUP($B9,Products!$A$1:$D$14,Products!C$15,0),"")</f>
        <v>0.05</v>
      </c>
      <c r="E9" s="27">
        <f>IFERROR(VLOOKUP($B9,Products!$A$1:$D$14,Products!D$15,0),"")</f>
        <v>7499</v>
      </c>
      <c r="F9" s="20">
        <v>1</v>
      </c>
      <c r="G9" s="20">
        <f>IFERROR(IF($F9="","",$F9*$E9),"")</f>
        <v>7499</v>
      </c>
      <c r="H9" s="20">
        <f>IFERROR(IF($G9="","",$G9+($G9*$D9)),"")</f>
        <v>7873.95</v>
      </c>
    </row>
    <row r="10" spans="1:8" ht="15" thickTop="1" thickBot="1" x14ac:dyDescent="0.5">
      <c r="A10" s="20">
        <f>IF(B10="","",A9+1)</f>
        <v>2</v>
      </c>
      <c r="B10" s="20" t="s">
        <v>47</v>
      </c>
      <c r="C10" s="27" t="str">
        <f>IFERROR(VLOOKUP($B10,Products!$A$1:$D$14,Products!B$15,0),"")</f>
        <v>A07</v>
      </c>
      <c r="D10" s="28">
        <f>IFERROR(VLOOKUP($B10,Products!$A$1:$D$14,Products!C$15,0),"")</f>
        <v>0.12</v>
      </c>
      <c r="E10" s="27">
        <f>IFERROR(VLOOKUP($B10,Products!$A$1:$D$14,Products!D$15,0),"")</f>
        <v>2999.75</v>
      </c>
      <c r="F10" s="20">
        <v>2</v>
      </c>
      <c r="G10" s="20">
        <f t="shared" ref="G10:G19" si="0">IFERROR(IF($F10="","",$F10*$E10),"")</f>
        <v>5999.5</v>
      </c>
      <c r="H10" s="20">
        <f t="shared" ref="H10:H19" si="1">IFERROR(IF($G10="","",$G10+($G10*$D10)),"")</f>
        <v>6719.44</v>
      </c>
    </row>
    <row r="11" spans="1:8" ht="15" thickTop="1" thickBot="1" x14ac:dyDescent="0.5">
      <c r="A11" s="20">
        <f t="shared" ref="A11:A19" si="2">IF(B11="","",A10+1)</f>
        <v>3</v>
      </c>
      <c r="B11" s="20" t="s">
        <v>48</v>
      </c>
      <c r="C11" s="27" t="str">
        <f>IFERROR(VLOOKUP($B11,Products!$A$1:$D$14,Products!B$15,0),"")</f>
        <v>A08</v>
      </c>
      <c r="D11" s="28">
        <f>IFERROR(VLOOKUP($B11,Products!$A$1:$D$14,Products!C$15,0),"")</f>
        <v>0.08</v>
      </c>
      <c r="E11" s="27">
        <f>IFERROR(VLOOKUP($B11,Products!$A$1:$D$14,Products!D$15,0),"")</f>
        <v>1799</v>
      </c>
      <c r="F11" s="20">
        <v>1</v>
      </c>
      <c r="G11" s="20">
        <f t="shared" si="0"/>
        <v>1799</v>
      </c>
      <c r="H11" s="20">
        <f t="shared" si="1"/>
        <v>1942.92</v>
      </c>
    </row>
    <row r="12" spans="1:8" ht="15" thickTop="1" thickBot="1" x14ac:dyDescent="0.5">
      <c r="A12" s="20">
        <f t="shared" si="2"/>
        <v>4</v>
      </c>
      <c r="B12" s="20" t="s">
        <v>47</v>
      </c>
      <c r="C12" s="27" t="str">
        <f>IFERROR(VLOOKUP($B12,Products!$A$1:$D$14,Products!B$15,0),"")</f>
        <v>A07</v>
      </c>
      <c r="D12" s="28">
        <f>IFERROR(VLOOKUP($B12,Products!$A$1:$D$14,Products!C$15,0),"")</f>
        <v>0.12</v>
      </c>
      <c r="E12" s="27">
        <f>IFERROR(VLOOKUP($B12,Products!$A$1:$D$14,Products!D$15,0),"")</f>
        <v>2999.75</v>
      </c>
      <c r="F12" s="20">
        <v>2</v>
      </c>
      <c r="G12" s="20">
        <f t="shared" si="0"/>
        <v>5999.5</v>
      </c>
      <c r="H12" s="20">
        <f t="shared" si="1"/>
        <v>6719.44</v>
      </c>
    </row>
    <row r="13" spans="1:8" ht="15" thickTop="1" thickBot="1" x14ac:dyDescent="0.5">
      <c r="A13" s="20" t="str">
        <f t="shared" si="2"/>
        <v/>
      </c>
      <c r="B13" s="20"/>
      <c r="C13" s="27" t="str">
        <f>IFERROR(VLOOKUP($B13,Products!$A$1:$D$14,Products!B$15,0),"")</f>
        <v/>
      </c>
      <c r="D13" s="28" t="str">
        <f>IFERROR(VLOOKUP($B13,Products!$A$1:$D$14,Products!C$15,0),"")</f>
        <v/>
      </c>
      <c r="E13" s="27" t="str">
        <f>IFERROR(VLOOKUP($B13,Products!$A$1:$D$14,Products!D$15,0),"")</f>
        <v/>
      </c>
      <c r="F13" s="20"/>
      <c r="G13" s="20" t="str">
        <f t="shared" si="0"/>
        <v/>
      </c>
      <c r="H13" s="20" t="str">
        <f t="shared" si="1"/>
        <v/>
      </c>
    </row>
    <row r="14" spans="1:8" ht="15" thickTop="1" thickBot="1" x14ac:dyDescent="0.5">
      <c r="A14" s="20" t="str">
        <f t="shared" si="2"/>
        <v/>
      </c>
      <c r="B14" s="20"/>
      <c r="C14" s="27" t="str">
        <f>IFERROR(VLOOKUP($B14,Products!$A$1:$D$14,Products!B$15,0),"")</f>
        <v/>
      </c>
      <c r="D14" s="28" t="str">
        <f>IFERROR(VLOOKUP($B14,Products!$A$1:$D$14,Products!C$15,0),"")</f>
        <v/>
      </c>
      <c r="E14" s="27" t="str">
        <f>IFERROR(VLOOKUP($B14,Products!$A$1:$D$14,Products!D$15,0),"")</f>
        <v/>
      </c>
      <c r="F14" s="20"/>
      <c r="G14" s="20" t="str">
        <f t="shared" si="0"/>
        <v/>
      </c>
      <c r="H14" s="20" t="str">
        <f t="shared" si="1"/>
        <v/>
      </c>
    </row>
    <row r="15" spans="1:8" ht="15" thickTop="1" thickBot="1" x14ac:dyDescent="0.5">
      <c r="A15" s="20" t="str">
        <f t="shared" si="2"/>
        <v/>
      </c>
      <c r="B15" s="20"/>
      <c r="C15" s="27" t="str">
        <f>IFERROR(VLOOKUP($B15,Products!$A$1:$D$14,Products!B$15,0),"")</f>
        <v/>
      </c>
      <c r="D15" s="28" t="str">
        <f>IFERROR(VLOOKUP($B15,Products!$A$1:$D$14,Products!C$15,0),"")</f>
        <v/>
      </c>
      <c r="E15" s="27" t="str">
        <f>IFERROR(VLOOKUP($B15,Products!$A$1:$D$14,Products!D$15,0),"")</f>
        <v/>
      </c>
      <c r="F15" s="20"/>
      <c r="G15" s="20" t="str">
        <f t="shared" si="0"/>
        <v/>
      </c>
      <c r="H15" s="20" t="str">
        <f t="shared" si="1"/>
        <v/>
      </c>
    </row>
    <row r="16" spans="1:8" ht="15" thickTop="1" thickBot="1" x14ac:dyDescent="0.5">
      <c r="A16" s="20" t="str">
        <f t="shared" si="2"/>
        <v/>
      </c>
      <c r="B16" s="20"/>
      <c r="C16" s="27" t="str">
        <f>IFERROR(VLOOKUP($B16,Products!$A$1:$D$14,Products!B$15,0),"")</f>
        <v/>
      </c>
      <c r="D16" s="28" t="str">
        <f>IFERROR(VLOOKUP($B16,Products!$A$1:$D$14,Products!C$15,0),"")</f>
        <v/>
      </c>
      <c r="E16" s="27" t="str">
        <f>IFERROR(VLOOKUP($B16,Products!$A$1:$D$14,Products!D$15,0),"")</f>
        <v/>
      </c>
      <c r="F16" s="20"/>
      <c r="G16" s="20" t="str">
        <f t="shared" si="0"/>
        <v/>
      </c>
      <c r="H16" s="20" t="str">
        <f t="shared" si="1"/>
        <v/>
      </c>
    </row>
    <row r="17" spans="1:8" ht="15" thickTop="1" thickBot="1" x14ac:dyDescent="0.5">
      <c r="A17" s="20" t="str">
        <f t="shared" si="2"/>
        <v/>
      </c>
      <c r="B17" s="20"/>
      <c r="C17" s="27" t="str">
        <f>IFERROR(VLOOKUP($B17,Products!$A$1:$D$14,Products!B$15,0),"")</f>
        <v/>
      </c>
      <c r="D17" s="28" t="str">
        <f>IFERROR(VLOOKUP($B17,Products!$A$1:$D$14,Products!C$15,0),"")</f>
        <v/>
      </c>
      <c r="E17" s="27" t="str">
        <f>IFERROR(VLOOKUP($B17,Products!$A$1:$D$14,Products!D$15,0),"")</f>
        <v/>
      </c>
      <c r="F17" s="20"/>
      <c r="G17" s="20" t="str">
        <f t="shared" si="0"/>
        <v/>
      </c>
      <c r="H17" s="20" t="str">
        <f t="shared" si="1"/>
        <v/>
      </c>
    </row>
    <row r="18" spans="1:8" ht="15" thickTop="1" thickBot="1" x14ac:dyDescent="0.5">
      <c r="A18" s="20" t="str">
        <f t="shared" si="2"/>
        <v/>
      </c>
      <c r="B18" s="20"/>
      <c r="C18" s="27" t="str">
        <f>IFERROR(VLOOKUP($B18,Products!$A$1:$D$14,Products!B$15,0),"")</f>
        <v/>
      </c>
      <c r="D18" s="28" t="str">
        <f>IFERROR(VLOOKUP($B18,Products!$A$1:$D$14,Products!C$15,0),"")</f>
        <v/>
      </c>
      <c r="E18" s="27" t="str">
        <f>IFERROR(VLOOKUP($B18,Products!$A$1:$D$14,Products!D$15,0),"")</f>
        <v/>
      </c>
      <c r="F18" s="20"/>
      <c r="G18" s="20" t="str">
        <f t="shared" si="0"/>
        <v/>
      </c>
      <c r="H18" s="20" t="str">
        <f t="shared" si="1"/>
        <v/>
      </c>
    </row>
    <row r="19" spans="1:8" ht="15" thickTop="1" thickBot="1" x14ac:dyDescent="0.5">
      <c r="A19" s="20" t="str">
        <f t="shared" si="2"/>
        <v/>
      </c>
      <c r="B19" s="20"/>
      <c r="C19" s="27" t="str">
        <f>IFERROR(VLOOKUP($B19,Products!$A$1:$D$14,Products!B$15,0),"")</f>
        <v/>
      </c>
      <c r="D19" s="28" t="str">
        <f>IFERROR(VLOOKUP($B19,Products!$A$1:$D$14,Products!C$15,0),"")</f>
        <v/>
      </c>
      <c r="E19" s="27" t="str">
        <f>IFERROR(VLOOKUP($B19,Products!$A$1:$D$14,Products!D$15,0),"")</f>
        <v/>
      </c>
      <c r="F19" s="20"/>
      <c r="G19" s="20" t="str">
        <f t="shared" si="0"/>
        <v/>
      </c>
      <c r="H19" s="20" t="str">
        <f t="shared" si="1"/>
        <v/>
      </c>
    </row>
    <row r="20" spans="1:8" ht="15" customHeight="1" thickTop="1" thickBot="1" x14ac:dyDescent="0.5">
      <c r="A20" s="40" t="s">
        <v>38</v>
      </c>
      <c r="B20" s="40"/>
      <c r="C20" s="40"/>
      <c r="D20" s="40"/>
      <c r="E20" s="41" t="s">
        <v>39</v>
      </c>
      <c r="F20" s="41"/>
      <c r="G20" s="53" t="s">
        <v>36</v>
      </c>
      <c r="H20" s="22">
        <f>SUM(G9:G19)</f>
        <v>21297</v>
      </c>
    </row>
    <row r="21" spans="1:8" ht="15" thickTop="1" thickBot="1" x14ac:dyDescent="0.5">
      <c r="A21" s="40"/>
      <c r="B21" s="40"/>
      <c r="C21" s="40"/>
      <c r="D21" s="40"/>
      <c r="E21" s="41"/>
      <c r="F21" s="41"/>
      <c r="G21" s="53" t="s">
        <v>18</v>
      </c>
      <c r="H21" s="29">
        <f>(H23-H20)/2</f>
        <v>979.37499999999818</v>
      </c>
    </row>
    <row r="22" spans="1:8" ht="15" thickTop="1" thickBot="1" x14ac:dyDescent="0.5">
      <c r="A22" s="40"/>
      <c r="B22" s="40"/>
      <c r="C22" s="40"/>
      <c r="D22" s="40"/>
      <c r="E22" s="41"/>
      <c r="F22" s="41"/>
      <c r="G22" s="53" t="s">
        <v>17</v>
      </c>
      <c r="H22" s="29">
        <f>(H23-H20)/2</f>
        <v>979.37499999999818</v>
      </c>
    </row>
    <row r="23" spans="1:8" ht="15.4" customHeight="1" thickTop="1" thickBot="1" x14ac:dyDescent="0.55000000000000004">
      <c r="A23" s="40"/>
      <c r="B23" s="40"/>
      <c r="C23" s="40"/>
      <c r="D23" s="40"/>
      <c r="E23" s="41"/>
      <c r="F23" s="41"/>
      <c r="G23" s="54" t="s">
        <v>19</v>
      </c>
      <c r="H23" s="55">
        <f>SUM(H9:H19)</f>
        <v>23255.749999999996</v>
      </c>
    </row>
    <row r="24" spans="1:8" ht="14.65" thickTop="1" x14ac:dyDescent="0.45"/>
  </sheetData>
  <mergeCells count="10">
    <mergeCell ref="A20:D23"/>
    <mergeCell ref="E20:F23"/>
    <mergeCell ref="A3:H3"/>
    <mergeCell ref="A1:H1"/>
    <mergeCell ref="F6:G7"/>
    <mergeCell ref="H4:H5"/>
    <mergeCell ref="H6:H7"/>
    <mergeCell ref="A2:H2"/>
    <mergeCell ref="A4:E7"/>
    <mergeCell ref="F4:G5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3C1671A-9F4B-46D8-99CB-1B4466AC04A2}">
          <x14:formula1>
            <xm:f>Products!$A$2:$A$14</xm:f>
          </x14:formula1>
          <xm:sqref>B9:B19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D6808-AA62-4B7F-AE0C-3B9064186C18}">
  <sheetPr codeName="Sheet3"/>
  <dimension ref="A1:E15"/>
  <sheetViews>
    <sheetView zoomScale="130" zoomScaleNormal="130" workbookViewId="0">
      <selection activeCell="E11" sqref="E11"/>
    </sheetView>
  </sheetViews>
  <sheetFormatPr defaultRowHeight="14.25" x14ac:dyDescent="0.45"/>
  <cols>
    <col min="1" max="1" width="18.33203125" customWidth="1"/>
  </cols>
  <sheetData>
    <row r="1" spans="1:5" ht="15" thickTop="1" thickBot="1" x14ac:dyDescent="0.5">
      <c r="A1" s="19" t="s">
        <v>33</v>
      </c>
      <c r="B1" s="19" t="s">
        <v>7</v>
      </c>
      <c r="C1" s="19" t="s">
        <v>34</v>
      </c>
      <c r="D1" s="19" t="s">
        <v>35</v>
      </c>
    </row>
    <row r="2" spans="1:5" ht="15" thickTop="1" thickBot="1" x14ac:dyDescent="0.5">
      <c r="A2" s="18" t="s">
        <v>41</v>
      </c>
      <c r="B2" s="18" t="s">
        <v>12</v>
      </c>
      <c r="C2" s="23">
        <v>0.05</v>
      </c>
      <c r="D2" s="24">
        <v>1199.5</v>
      </c>
      <c r="E2" s="1"/>
    </row>
    <row r="3" spans="1:5" ht="15" thickTop="1" thickBot="1" x14ac:dyDescent="0.5">
      <c r="A3" s="18" t="s">
        <v>42</v>
      </c>
      <c r="B3" s="18" t="s">
        <v>54</v>
      </c>
      <c r="C3" s="23">
        <v>0.08</v>
      </c>
      <c r="D3" s="24">
        <v>1499</v>
      </c>
      <c r="E3" s="1"/>
    </row>
    <row r="4" spans="1:5" ht="15" thickTop="1" thickBot="1" x14ac:dyDescent="0.5">
      <c r="A4" s="18" t="s">
        <v>43</v>
      </c>
      <c r="B4" s="18" t="s">
        <v>55</v>
      </c>
      <c r="C4" s="23">
        <v>0.08</v>
      </c>
      <c r="D4" s="24">
        <v>3499.75</v>
      </c>
      <c r="E4" s="1"/>
    </row>
    <row r="5" spans="1:5" ht="15" thickTop="1" thickBot="1" x14ac:dyDescent="0.5">
      <c r="A5" s="18" t="s">
        <v>44</v>
      </c>
      <c r="B5" s="18" t="s">
        <v>56</v>
      </c>
      <c r="C5" s="23">
        <v>0.21</v>
      </c>
      <c r="D5" s="24">
        <v>8499.5</v>
      </c>
      <c r="E5" s="1"/>
    </row>
    <row r="6" spans="1:5" ht="15" thickTop="1" thickBot="1" x14ac:dyDescent="0.5">
      <c r="A6" s="18" t="s">
        <v>45</v>
      </c>
      <c r="B6" s="18" t="s">
        <v>57</v>
      </c>
      <c r="C6" s="23">
        <v>0.05</v>
      </c>
      <c r="D6" s="24">
        <v>2499</v>
      </c>
      <c r="E6" s="1"/>
    </row>
    <row r="7" spans="1:5" ht="15" thickTop="1" thickBot="1" x14ac:dyDescent="0.5">
      <c r="A7" s="18" t="s">
        <v>46</v>
      </c>
      <c r="B7" s="18" t="s">
        <v>58</v>
      </c>
      <c r="C7" s="23">
        <v>0.05</v>
      </c>
      <c r="D7" s="24">
        <v>7499</v>
      </c>
      <c r="E7" s="1"/>
    </row>
    <row r="8" spans="1:5" ht="15" thickTop="1" thickBot="1" x14ac:dyDescent="0.5">
      <c r="A8" s="18" t="s">
        <v>47</v>
      </c>
      <c r="B8" s="18" t="s">
        <v>59</v>
      </c>
      <c r="C8" s="23">
        <v>0.12</v>
      </c>
      <c r="D8" s="24">
        <v>2999.75</v>
      </c>
      <c r="E8" s="1"/>
    </row>
    <row r="9" spans="1:5" ht="15" thickTop="1" thickBot="1" x14ac:dyDescent="0.5">
      <c r="A9" s="18" t="s">
        <v>48</v>
      </c>
      <c r="B9" s="18" t="s">
        <v>60</v>
      </c>
      <c r="C9" s="23">
        <v>0.08</v>
      </c>
      <c r="D9" s="24">
        <v>1799</v>
      </c>
      <c r="E9" s="1"/>
    </row>
    <row r="10" spans="1:5" ht="15" thickTop="1" thickBot="1" x14ac:dyDescent="0.5">
      <c r="A10" s="18" t="s">
        <v>49</v>
      </c>
      <c r="B10" s="18" t="s">
        <v>61</v>
      </c>
      <c r="C10" s="23">
        <v>0.08</v>
      </c>
      <c r="D10" s="24">
        <v>1599</v>
      </c>
      <c r="E10" s="1"/>
    </row>
    <row r="11" spans="1:5" ht="15" thickTop="1" thickBot="1" x14ac:dyDescent="0.5">
      <c r="A11" s="18" t="s">
        <v>50</v>
      </c>
      <c r="B11" s="18" t="s">
        <v>62</v>
      </c>
      <c r="C11" s="23">
        <v>0.15</v>
      </c>
      <c r="D11" s="24">
        <v>149</v>
      </c>
      <c r="E11" s="1"/>
    </row>
    <row r="12" spans="1:5" ht="15" thickTop="1" thickBot="1" x14ac:dyDescent="0.5">
      <c r="A12" s="18" t="s">
        <v>51</v>
      </c>
      <c r="B12" s="18" t="s">
        <v>63</v>
      </c>
      <c r="C12" s="23">
        <v>0.18</v>
      </c>
      <c r="D12" s="24">
        <v>159</v>
      </c>
      <c r="E12" s="1"/>
    </row>
    <row r="13" spans="1:5" ht="15" thickTop="1" thickBot="1" x14ac:dyDescent="0.5">
      <c r="A13" s="18" t="s">
        <v>52</v>
      </c>
      <c r="B13" s="18" t="s">
        <v>64</v>
      </c>
      <c r="C13" s="23">
        <v>0.06</v>
      </c>
      <c r="D13" s="24">
        <v>99</v>
      </c>
      <c r="E13" s="1"/>
    </row>
    <row r="14" spans="1:5" ht="15" thickTop="1" thickBot="1" x14ac:dyDescent="0.5">
      <c r="A14" s="18" t="s">
        <v>53</v>
      </c>
      <c r="B14" s="18" t="s">
        <v>65</v>
      </c>
      <c r="C14" s="23">
        <v>0.12</v>
      </c>
      <c r="D14" s="24">
        <v>2799</v>
      </c>
      <c r="E14" s="1"/>
    </row>
    <row r="15" spans="1:5" ht="14.65" thickTop="1" x14ac:dyDescent="0.45">
      <c r="A15" s="26">
        <v>1</v>
      </c>
      <c r="B15" s="26">
        <v>2</v>
      </c>
      <c r="C15" s="25">
        <v>3</v>
      </c>
      <c r="D15" s="25">
        <v>4</v>
      </c>
    </row>
  </sheetData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Plane Invoice</vt:lpstr>
      <vt:lpstr>Best Invoice</vt:lpstr>
      <vt:lpstr>Products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PUNNA THARUN</dc:creator>
  <cp:lastModifiedBy>PUNNA THARUN</cp:lastModifiedBy>
  <cp:lastPrinted>2023-08-06T15:18:19Z</cp:lastPrinted>
  <dcterms:created xsi:type="dcterms:W3CDTF">2023-08-05T11:31:09Z</dcterms:created>
  <dcterms:modified xsi:type="dcterms:W3CDTF">2023-08-06T15:37:38Z</dcterms:modified>
</cp:coreProperties>
</file>